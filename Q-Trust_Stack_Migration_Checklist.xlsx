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gration Checklist" sheetId="1" state="visible" r:id="rId1"/>
    <sheet xmlns:r="http://schemas.openxmlformats.org/officeDocument/2006/relationships" name="Summary by Priority" sheetId="2" state="visible" r:id="rId2"/>
    <sheet xmlns:r="http://schemas.openxmlformats.org/officeDocument/2006/relationships" name="Summary by Layer" sheetId="3" state="visible" r:id="rId3"/>
    <sheet xmlns:r="http://schemas.openxmlformats.org/officeDocument/2006/relationships" name="Legend &amp; Guide" sheetId="4" state="visible" r:id="rId4"/>
  </sheets>
  <definedNames>
    <definedName name="_xlnm._FilterDatabase" localSheetId="0" hidden="1">'Migration Checklist'!$B$5:$I$35</definedName>
    <definedName name="_xlnm.Print_Titles" localSheetId="0">'Migration Checklist'!$5:$5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1A1814"/>
      <sz val="18"/>
    </font>
    <font>
      <name val="Calibri"/>
      <i val="1"/>
      <color rgb="006E6A5E"/>
      <sz val="10"/>
    </font>
    <font>
      <name val="Calibri"/>
      <b val="1"/>
      <color rgb="00FFFFFF"/>
      <sz val="11"/>
    </font>
    <font>
      <name val="Calibri"/>
      <color rgb="001A1814"/>
      <sz val="10"/>
    </font>
    <font>
      <name val="Calibri"/>
      <b val="1"/>
      <color rgb="009F5A54"/>
      <sz val="10"/>
    </font>
    <font>
      <name val="Calibri"/>
      <b val="1"/>
      <color rgb="006E6A5E"/>
      <sz val="10"/>
    </font>
    <font>
      <name val="Calibri"/>
      <b val="1"/>
      <color rgb="00A5874A"/>
      <sz val="10"/>
    </font>
    <font>
      <name val="Calibri"/>
      <b val="1"/>
      <color rgb="008C783A"/>
      <sz val="10"/>
    </font>
    <font>
      <name val="Calibri"/>
      <b val="1"/>
      <color rgb="004D6E90"/>
      <sz val="10"/>
    </font>
    <font>
      <name val="Calibri"/>
      <b val="1"/>
      <color rgb="009F5A54"/>
      <sz val="11"/>
    </font>
    <font>
      <name val="Calibri"/>
      <b val="1"/>
      <color rgb="001A1814"/>
      <sz val="10"/>
    </font>
    <font>
      <name val="Calibri"/>
      <b val="1"/>
      <color rgb="004C9564"/>
      <sz val="10"/>
    </font>
    <font>
      <name val="Calibri"/>
      <b val="1"/>
      <color rgb="00917521"/>
      <sz val="10"/>
    </font>
    <font>
      <name val="Calibri"/>
      <b val="1"/>
      <color rgb="00A5874A"/>
      <sz val="11"/>
    </font>
    <font>
      <name val="Calibri"/>
      <b val="1"/>
      <color rgb="008C783A"/>
      <sz val="11"/>
    </font>
    <font>
      <name val="Calibri"/>
      <b val="1"/>
      <color rgb="004D6E90"/>
      <sz val="11"/>
    </font>
    <font>
      <name val="Calibri"/>
      <b val="1"/>
      <color rgb="00917521"/>
      <sz val="11"/>
    </font>
    <font>
      <name val="Calibri"/>
      <b val="1"/>
      <color rgb="0085837B"/>
      <sz val="10"/>
    </font>
  </fonts>
  <fills count="10">
    <fill>
      <patternFill/>
    </fill>
    <fill>
      <patternFill patternType="gray125"/>
    </fill>
    <fill>
      <patternFill patternType="solid">
        <fgColor rgb="005B5646"/>
      </patternFill>
    </fill>
    <fill>
      <patternFill patternType="solid">
        <fgColor rgb="00FBE9E7"/>
      </patternFill>
    </fill>
    <fill>
      <patternFill patternType="solid">
        <fgColor rgb="00F5F4F0"/>
      </patternFill>
    </fill>
    <fill>
      <patternFill patternType="solid">
        <fgColor rgb="00FFF7ED"/>
      </patternFill>
    </fill>
    <fill>
      <patternFill patternType="solid">
        <fgColor rgb="00FFFBEB"/>
      </patternFill>
    </fill>
    <fill>
      <patternFill patternType="solid">
        <fgColor rgb="00EFF6FF"/>
      </patternFill>
    </fill>
    <fill>
      <patternFill patternType="solid">
        <fgColor rgb="00F0FDF4"/>
      </patternFill>
    </fill>
    <fill>
      <patternFill patternType="solid">
        <fgColor rgb="00EEEEEE"/>
      </patternFill>
    </fill>
  </fills>
  <borders count="5">
    <border>
      <left/>
      <right/>
      <top/>
      <bottom/>
      <diagonal/>
    </border>
    <border>
      <left style="thin">
        <color rgb="00D8D4C7"/>
      </left>
      <right style="thin">
        <color rgb="00D8D4C7"/>
      </right>
      <top style="thin">
        <color rgb="00D8D4C7"/>
      </top>
      <bottom style="thin">
        <color rgb="00D8D4C7"/>
      </bottom>
    </border>
    <border>
      <left/>
      <right/>
      <top style="thin">
        <color rgb="00D8D4C7"/>
      </top>
      <bottom/>
      <diagonal/>
    </border>
    <border>
      <left/>
      <right style="thin">
        <color rgb="00D8D4C7"/>
      </right>
      <top style="thin">
        <color rgb="00D8D4C7"/>
      </top>
      <bottom/>
      <diagonal/>
    </border>
    <border>
      <left/>
      <right style="thin">
        <color rgb="00D8D4C7"/>
      </right>
      <top style="thin">
        <color rgb="00D8D4C7"/>
      </top>
      <bottom style="thin">
        <color rgb="00D8D4C7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9" fontId="13" fillId="0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9" fontId="3" fillId="2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9" fontId="4" fillId="0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9" fontId="4" fillId="4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17" fillId="0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name val="Calibri"/>
        <b val="1"/>
        <color rgb="004C9564"/>
        <sz val="10"/>
      </font>
      <fill>
        <patternFill patternType="solid">
          <fgColor rgb="00F0FDF4"/>
        </patternFill>
      </fill>
    </dxf>
    <dxf>
      <font>
        <name val="Calibri"/>
        <b val="1"/>
        <color rgb="00A5874A"/>
        <sz val="10"/>
      </font>
      <fill>
        <patternFill patternType="solid">
          <fgColor rgb="00FFF7ED"/>
        </patternFill>
      </fill>
    </dxf>
    <dxf>
      <font>
        <name val="Calibri"/>
        <i val="1"/>
        <color rgb="0085837B"/>
        <sz val="10"/>
      </font>
      <fill>
        <patternFill patternType="solid">
          <fgColor rgb="00EEEE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Migration Items by Priority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 by Priority'!D5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by Priority'!$B$6:$B$9</f>
            </numRef>
          </cat>
          <val>
            <numRef>
              <f>'Summary by Priority'!$D$6:$D$9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Priority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3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2" max="2"/>
    <col width="32" customWidth="1" min="3" max="3"/>
    <col width="42" customWidth="1" min="4" max="4"/>
    <col width="42" customWidth="1" min="5" max="5"/>
    <col width="10" customWidth="1" min="6" max="6"/>
    <col width="8" customWidth="1" min="7" max="7"/>
    <col width="12" customWidth="1" min="8" max="8"/>
    <col width="50" customWidth="1" min="9" max="9"/>
  </cols>
  <sheetData>
    <row r="2" ht="28" customHeight="1">
      <c r="B2" s="1" t="inlineStr">
        <is>
          <t>Q-Trust Stack Migration Checklist</t>
        </is>
      </c>
    </row>
    <row r="3" ht="16" customHeight="1">
      <c r="B3" s="2" t="inlineStr">
        <is>
          <t>Generated 2026-08-23 · Based on actual manifest inspection (package.json, pyproject.toml, requirements.txt, foundry.toml)</t>
        </is>
      </c>
    </row>
    <row r="5" ht="32" customHeight="1">
      <c r="B5" s="3" t="inlineStr">
        <is>
          <t>#</t>
        </is>
      </c>
      <c r="C5" s="3" t="inlineStr">
        <is>
          <t>Component</t>
        </is>
      </c>
      <c r="D5" s="3" t="inlineStr">
        <is>
          <t>Current</t>
        </is>
      </c>
      <c r="E5" s="3" t="inlineStr">
        <is>
          <t>New</t>
        </is>
      </c>
      <c r="F5" s="3" t="inlineStr">
        <is>
          <t>Priority</t>
        </is>
      </c>
      <c r="G5" s="3" t="inlineStr">
        <is>
          <t>Effort</t>
        </is>
      </c>
      <c r="H5" s="3" t="inlineStr">
        <is>
          <t>Status</t>
        </is>
      </c>
      <c r="I5" s="3" t="inlineStr">
        <is>
          <t>Notes</t>
        </is>
      </c>
    </row>
    <row r="6" ht="42" customHeight="1">
      <c r="B6" s="4" t="n">
        <v>1</v>
      </c>
      <c r="C6" s="5" t="inlineStr">
        <is>
          <t>Inspector: cryptography lib</t>
        </is>
      </c>
      <c r="D6" s="5" t="inlineStr">
        <is>
          <t>cryptography&gt;=41.0.0 (2 CVEs: CVE-2023-50782, CVE-2024-26130)</t>
        </is>
      </c>
      <c r="E6" s="5" t="inlineStr">
        <is>
          <t>cryptography&gt;=43.0.0,&lt;45</t>
        </is>
      </c>
      <c r="F6" s="6" t="inlineStr">
        <is>
          <t>P0</t>
        </is>
      </c>
      <c r="G6" s="4" t="inlineStr">
        <is>
          <t>XS</t>
        </is>
      </c>
      <c r="H6" s="7" t="inlineStr">
        <is>
          <t>TODO</t>
        </is>
      </c>
      <c r="I6" s="5" t="inlineStr">
        <is>
          <t>Pin in inspector/pyproject.toml + sdk/pyproject.toml</t>
        </is>
      </c>
    </row>
    <row r="7" ht="42" customHeight="1">
      <c r="B7" s="8" t="n">
        <v>2</v>
      </c>
      <c r="C7" s="9" t="inlineStr">
        <is>
          <t>SDK: pynacl dependency</t>
        </is>
      </c>
      <c r="D7" s="9" t="inlineStr">
        <is>
          <t>Optional [pqc] extra (runtime ImportError without it)</t>
        </is>
      </c>
      <c r="E7" s="9" t="inlineStr">
        <is>
          <t>Required dependency in [project.dependencies]</t>
        </is>
      </c>
      <c r="F7" s="6" t="inlineStr">
        <is>
          <t>P0</t>
        </is>
      </c>
      <c r="G7" s="8" t="inlineStr">
        <is>
          <t>XS</t>
        </is>
      </c>
      <c r="H7" s="7" t="inlineStr">
        <is>
          <t>TODO</t>
        </is>
      </c>
      <c r="I7" s="9" t="inlineStr">
        <is>
          <t>Move from [project.optional-dependencies] to [project.dependencies]</t>
        </is>
      </c>
    </row>
    <row r="8" ht="42" customHeight="1">
      <c r="B8" s="4" t="n">
        <v>3</v>
      </c>
      <c r="C8" s="5" t="inlineStr">
        <is>
          <t>Backend: security headers</t>
        </is>
      </c>
      <c r="D8" s="5" t="inlineStr">
        <is>
          <t>MISSING — no CSP, X-Frame-Options, HSTS, X-Content-Type-Options</t>
        </is>
      </c>
      <c r="E8" s="5" t="inlineStr">
        <is>
          <t>@fastify/helmet ^13</t>
        </is>
      </c>
      <c r="F8" s="6" t="inlineStr">
        <is>
          <t>P0</t>
        </is>
      </c>
      <c r="G8" s="4" t="inlineStr">
        <is>
          <t>XS</t>
        </is>
      </c>
      <c r="H8" s="7" t="inlineStr">
        <is>
          <t>TODO</t>
        </is>
      </c>
      <c r="I8" s="5" t="inlineStr">
        <is>
          <t>npm install @fastify/helmet, register plugin in server.ts</t>
        </is>
      </c>
    </row>
    <row r="9" ht="42" customHeight="1">
      <c r="B9" s="8" t="n">
        <v>4</v>
      </c>
      <c r="C9" s="9" t="inlineStr">
        <is>
          <t>Backend: OpenAPI docs</t>
        </is>
      </c>
      <c r="D9" s="9" t="inlineStr">
        <is>
          <t>openapi.yaml exists but not served</t>
        </is>
      </c>
      <c r="E9" s="9" t="inlineStr">
        <is>
          <t>@fastify/swagger ^9 + @fastify/swagger-ui ^5</t>
        </is>
      </c>
      <c r="F9" s="6" t="inlineStr">
        <is>
          <t>P0</t>
        </is>
      </c>
      <c r="G9" s="8" t="inlineStr">
        <is>
          <t>XS</t>
        </is>
      </c>
      <c r="H9" s="7" t="inlineStr">
        <is>
          <t>TODO</t>
        </is>
      </c>
      <c r="I9" s="9" t="inlineStr">
        <is>
          <t>Exposes /docs endpoint for enterprise integrators</t>
        </is>
      </c>
    </row>
    <row r="10" ht="42" customHeight="1">
      <c r="B10" s="4" t="n">
        <v>5</v>
      </c>
      <c r="C10" s="5" t="inlineStr">
        <is>
          <t>Backend: input validation</t>
        </is>
      </c>
      <c r="D10" s="5" t="inlineStr">
        <is>
          <t>Manual if(!field) checks</t>
        </is>
      </c>
      <c r="E10" s="5" t="inlineStr">
        <is>
          <t>@sinclair/typebox + fastify-type-provider-typebox</t>
        </is>
      </c>
      <c r="F10" s="6" t="inlineStr">
        <is>
          <t>P0</t>
        </is>
      </c>
      <c r="G10" s="4" t="inlineStr">
        <is>
          <t>S</t>
        </is>
      </c>
      <c r="H10" s="7" t="inlineStr">
        <is>
          <t>TODO</t>
        </is>
      </c>
      <c r="I10" s="5" t="inlineStr">
        <is>
          <t>Type-safe JSON Schema validation, 10x faster</t>
        </is>
      </c>
    </row>
    <row r="11" ht="42" customHeight="1">
      <c r="B11" s="8" t="n">
        <v>6</v>
      </c>
      <c r="C11" s="9" t="inlineStr">
        <is>
          <t>Planner: torch version</t>
        </is>
      </c>
      <c r="D11" s="9" t="inlineStr">
        <is>
          <t>torch&gt;=2.2 (no upper bound)</t>
        </is>
      </c>
      <c r="E11" s="9" t="inlineStr">
        <is>
          <t>torch&gt;=2.5,&lt;3.0</t>
        </is>
      </c>
      <c r="F11" s="6" t="inlineStr">
        <is>
          <t>P0</t>
        </is>
      </c>
      <c r="G11" s="8" t="inlineStr">
        <is>
          <t>XS</t>
        </is>
      </c>
      <c r="H11" s="7" t="inlineStr">
        <is>
          <t>TODO</t>
        </is>
      </c>
      <c r="I11" s="9" t="inlineStr">
        <is>
          <t>Pin in planner/requirements.txt</t>
        </is>
      </c>
    </row>
    <row r="12" ht="42" customHeight="1">
      <c r="B12" s="4" t="n">
        <v>7</v>
      </c>
      <c r="C12" s="5" t="inlineStr">
        <is>
          <t>SDK: web3.py</t>
        </is>
      </c>
      <c r="D12" s="5" t="inlineStr">
        <is>
          <t>web3.py 6.x</t>
        </is>
      </c>
      <c r="E12" s="5" t="inlineStr">
        <is>
          <t>web3.py 7.x (async, better types)</t>
        </is>
      </c>
      <c r="F12" s="10" t="inlineStr">
        <is>
          <t>P1</t>
        </is>
      </c>
      <c r="G12" s="4" t="inlineStr">
        <is>
          <t>M</t>
        </is>
      </c>
      <c r="H12" s="7" t="inlineStr">
        <is>
          <t>TODO</t>
        </is>
      </c>
      <c r="I12" s="5" t="inlineStr">
        <is>
          <t>Native async, smaller bundle, better TypeScript-style hints</t>
        </is>
      </c>
    </row>
    <row r="13" ht="42" customHeight="1">
      <c r="B13" s="8" t="n">
        <v>8</v>
      </c>
      <c r="C13" s="9" t="inlineStr">
        <is>
          <t>SDK: VC verifier</t>
        </is>
      </c>
      <c r="D13" s="9" t="inlineStr">
        <is>
          <t>In-house vc.py (505 LOC, accepts unsigned VCs — Critical bug)</t>
        </is>
      </c>
      <c r="E13" s="9" t="inlineStr">
        <is>
          <t>veramo&gt;=7.0.0 (audited, DIF reference impl, VC v2)</t>
        </is>
      </c>
      <c r="F13" s="10" t="inlineStr">
        <is>
          <t>P1</t>
        </is>
      </c>
      <c r="G13" s="8" t="inlineStr">
        <is>
          <t>M</t>
        </is>
      </c>
      <c r="H13" s="7" t="inlineStr">
        <is>
          <t>TODO</t>
        </is>
      </c>
      <c r="I13" s="9" t="inlineStr">
        <is>
          <t>Eliminates Critical bug + adds W3C V2 VCDM support</t>
        </is>
      </c>
    </row>
    <row r="14" ht="42" customHeight="1">
      <c r="B14" s="4" t="n">
        <v>9</v>
      </c>
      <c r="C14" s="5" t="inlineStr">
        <is>
          <t>SDK: DID resolver</t>
        </is>
      </c>
      <c r="D14" s="5" t="inlineStr">
        <is>
          <t>In-house did.py (SSRF vulnerability)</t>
        </is>
      </c>
      <c r="E14" s="5" t="inlineStr">
        <is>
          <t>Veramo DID resolver (SSRF-safe)</t>
        </is>
      </c>
      <c r="F14" s="10" t="inlineStr">
        <is>
          <t>P1</t>
        </is>
      </c>
      <c r="G14" s="4" t="inlineStr">
        <is>
          <t>S</t>
        </is>
      </c>
      <c r="H14" s="7" t="inlineStr">
        <is>
          <t>TODO</t>
        </is>
      </c>
      <c r="I14" s="5" t="inlineStr">
        <is>
          <t>Comes bundled with Veramo — replaces ~150 LOC</t>
        </is>
      </c>
    </row>
    <row r="15" ht="42" customHeight="1">
      <c r="B15" s="8" t="n">
        <v>10</v>
      </c>
      <c r="C15" s="9" t="inlineStr">
        <is>
          <t>Frontend: wallet connection</t>
        </is>
      </c>
      <c r="D15" s="9" t="inlineStr">
        <is>
          <t>Custom dynamic-provider.tsx (191 LOC, broken — calls non-existent endpoints)</t>
        </is>
      </c>
      <c r="E15" s="9" t="inlineStr">
        <is>
          <t>wagmi@^2 + @rainbow-me/rainbowkit@^2</t>
        </is>
      </c>
      <c r="F15" s="10" t="inlineStr">
        <is>
          <t>P1</t>
        </is>
      </c>
      <c r="G15" s="8" t="inlineStr">
        <is>
          <t>M</t>
        </is>
      </c>
      <c r="H15" s="7" t="inlineStr">
        <is>
          <t>TODO</t>
        </is>
      </c>
      <c r="I15" s="9" t="inlineStr">
        <is>
          <t>Adds 30+ wallets, chain-switching, mobile support, wrong-network detection</t>
        </is>
      </c>
    </row>
    <row r="16" ht="42" customHeight="1">
      <c r="B16" s="4" t="n">
        <v>11</v>
      </c>
      <c r="C16" s="5" t="inlineStr">
        <is>
          <t>Frontend: component primitives</t>
        </is>
      </c>
      <c r="D16" s="5" t="inlineStr">
        <is>
          <t>None (raw Tailwind)</t>
        </is>
      </c>
      <c r="E16" s="5" t="inlineStr">
        <is>
          <t>shadcn/ui + @radix-ui/react-*</t>
        </is>
      </c>
      <c r="F16" s="10" t="inlineStr">
        <is>
          <t>P1</t>
        </is>
      </c>
      <c r="G16" s="4" t="inlineStr">
        <is>
          <t>S</t>
        </is>
      </c>
      <c r="H16" s="7" t="inlineStr">
        <is>
          <t>TODO</t>
        </is>
      </c>
      <c r="I16" s="5" t="inlineStr">
        <is>
          <t>Production-quality accessible components</t>
        </is>
      </c>
    </row>
    <row r="17" ht="42" customHeight="1">
      <c r="B17" s="8" t="n">
        <v>12</v>
      </c>
      <c r="C17" s="9" t="inlineStr">
        <is>
          <t>Frontend: tests</t>
        </is>
      </c>
      <c r="D17" s="9" t="inlineStr">
        <is>
          <t>None (npm run build is the only check)</t>
        </is>
      </c>
      <c r="E17" s="9" t="inlineStr">
        <is>
          <t>@playwright/test + vitest + @testing-library/react</t>
        </is>
      </c>
      <c r="F17" s="10" t="inlineStr">
        <is>
          <t>P1</t>
        </is>
      </c>
      <c r="G17" s="8" t="inlineStr">
        <is>
          <t>M</t>
        </is>
      </c>
      <c r="H17" s="7" t="inlineStr">
        <is>
          <t>TODO</t>
        </is>
      </c>
      <c r="I17" s="9" t="inlineStr">
        <is>
          <t>E2E tests for critical user journeys; unit tests for hooks</t>
        </is>
      </c>
    </row>
    <row r="18" ht="42" customHeight="1">
      <c r="B18" s="4" t="n">
        <v>13</v>
      </c>
      <c r="C18" s="5" t="inlineStr">
        <is>
          <t>Planner: Dockerfile</t>
        </is>
      </c>
      <c r="D18" s="5" t="inlineStr">
        <is>
          <t>Runs as root</t>
        </is>
      </c>
      <c r="E18" s="5" t="inlineStr">
        <is>
          <t>Non-root USER directive (mirror backend Dockerfile)</t>
        </is>
      </c>
      <c r="F18" s="10" t="inlineStr">
        <is>
          <t>P1</t>
        </is>
      </c>
      <c r="G18" s="4" t="inlineStr">
        <is>
          <t>XS</t>
        </is>
      </c>
      <c r="H18" s="7" t="inlineStr">
        <is>
          <t>TODO</t>
        </is>
      </c>
      <c r="I18" s="5" t="inlineStr">
        <is>
          <t>Add groupadd/useradd + USER planner in planner/Dockerfile</t>
        </is>
      </c>
    </row>
    <row r="19" ht="42" customHeight="1">
      <c r="B19" s="8" t="n">
        <v>14</v>
      </c>
      <c r="C19" s="9" t="inlineStr">
        <is>
          <t>Planner: rate limiter</t>
        </is>
      </c>
      <c r="D19" s="9" t="inlineStr">
        <is>
          <t>In-memory dict (does not work across uvicorn workers, grows unbounded)</t>
        </is>
      </c>
      <c r="E19" s="9" t="inlineStr">
        <is>
          <t>redis&gt;=5.0.0 with sliding-window algorithm</t>
        </is>
      </c>
      <c r="F19" s="10" t="inlineStr">
        <is>
          <t>P1</t>
        </is>
      </c>
      <c r="G19" s="8" t="inlineStr">
        <is>
          <t>S</t>
        </is>
      </c>
      <c r="H19" s="7" t="inlineStr">
        <is>
          <t>TODO</t>
        </is>
      </c>
      <c r="I19" s="9" t="inlineStr">
        <is>
          <t>Use existing Redis from docker-compose; add periodic cleanup</t>
        </is>
      </c>
    </row>
    <row r="20" ht="42" customHeight="1">
      <c r="B20" s="4" t="n">
        <v>15</v>
      </c>
      <c r="C20" s="5" t="inlineStr">
        <is>
          <t>Storage: CBOM persistence</t>
        </is>
      </c>
      <c r="D20" s="5" t="inlineStr">
        <is>
          <t>IPFS via Pinata (centralized, rate-limited, single provider)</t>
        </is>
      </c>
      <c r="E20" s="5" t="inlineStr">
        <is>
          <t>Arweave (permanent) + Walrus (large blobs)</t>
        </is>
      </c>
      <c r="F20" s="11" t="inlineStr">
        <is>
          <t>P2</t>
        </is>
      </c>
      <c r="G20" s="4" t="inlineStr">
        <is>
          <t>M</t>
        </is>
      </c>
      <c r="H20" s="7" t="inlineStr">
        <is>
          <t>TODO</t>
        </is>
      </c>
      <c r="I20" s="5" t="inlineStr">
        <is>
          <t>One-time payment, 100x cheaper at scale, stronger regulatory narrative</t>
        </is>
      </c>
    </row>
    <row r="21" ht="42" customHeight="1">
      <c r="B21" s="8" t="n">
        <v>16</v>
      </c>
      <c r="C21" s="9" t="inlineStr">
        <is>
          <t>Smart contracts: registry sprawl</t>
        </is>
      </c>
      <c r="D21" s="9" t="inlineStr">
        <is>
          <t>11 custom Solidity contracts (no network effects)</t>
        </is>
      </c>
      <c r="E21" s="9" t="inlineStr">
        <is>
          <t>EAS (Ethereum Attestation Service) schemas on Base + mainnet</t>
        </is>
      </c>
      <c r="F21" s="11" t="inlineStr">
        <is>
          <t>P2</t>
        </is>
      </c>
      <c r="G21" s="8" t="inlineStr">
        <is>
          <t>L</t>
        </is>
      </c>
      <c r="H21" s="7" t="inlineStr">
        <is>
          <t>TODO</t>
        </is>
      </c>
      <c r="I21" s="9" t="inlineStr">
        <is>
          <t>Multichain for free (10+ chains), network effects, battle-tested</t>
        </is>
      </c>
    </row>
    <row r="22" ht="42" customHeight="1">
      <c r="B22" s="4" t="n">
        <v>17</v>
      </c>
      <c r="C22" s="5" t="inlineStr">
        <is>
          <t>Blockchain: multichain</t>
        </is>
      </c>
      <c r="D22" s="5" t="inlineStr">
        <is>
          <t>Base L2 only (single-chain)</t>
        </is>
      </c>
      <c r="E22" s="5" t="inlineStr">
        <is>
          <t>Base + Ethereum mainnet + Polygon/Arbitrum via EAS</t>
        </is>
      </c>
      <c r="F22" s="11" t="inlineStr">
        <is>
          <t>P2</t>
        </is>
      </c>
      <c r="G22" s="4" t="inlineStr">
        <is>
          <t>M</t>
        </is>
      </c>
      <c r="H22" s="7" t="inlineStr">
        <is>
          <t>TODO</t>
        </is>
      </c>
      <c r="I22" s="5" t="inlineStr">
        <is>
          <t>Inherits EAS multichain deployment for free</t>
        </is>
      </c>
    </row>
    <row r="23" ht="42" customHeight="1">
      <c r="B23" s="8" t="n">
        <v>18</v>
      </c>
      <c r="C23" s="9" t="inlineStr">
        <is>
          <t>Gas/AA: relayer bottleneck</t>
        </is>
      </c>
      <c r="D23" s="9" t="inlineStr">
        <is>
          <t>Single relayer key + deployer fallback</t>
        </is>
      </c>
      <c r="E23" s="9" t="inlineStr">
        <is>
          <t>ERC-4337 + Pimlico or Biconomy paymaster</t>
        </is>
      </c>
      <c r="F23" s="11" t="inlineStr">
        <is>
          <t>P2</t>
        </is>
      </c>
      <c r="G23" s="8" t="inlineStr">
        <is>
          <t>L</t>
        </is>
      </c>
      <c r="H23" s="7" t="inlineStr">
        <is>
          <t>TODO</t>
        </is>
      </c>
      <c r="I23" s="9" t="inlineStr">
        <is>
          <t>Gasless vendor attestations at scale; removes single-relayer bottleneck</t>
        </is>
      </c>
    </row>
    <row r="24" ht="42" customHeight="1">
      <c r="B24" s="4" t="n">
        <v>19</v>
      </c>
      <c r="C24" s="5" t="inlineStr">
        <is>
          <t>Auth: non-crypto users</t>
        </is>
      </c>
      <c r="D24" s="5" t="inlineStr">
        <is>
          <t>MetaMask-only (Dynamic provider)</t>
        </is>
      </c>
      <c r="E24" s="5" t="inlineStr">
        <is>
          <t>WebAuthn passkeys + EIP-7212 P256 precompile + ERC-7579 smart accounts</t>
        </is>
      </c>
      <c r="F24" s="11" t="inlineStr">
        <is>
          <t>P2</t>
        </is>
      </c>
      <c r="G24" s="4" t="inlineStr">
        <is>
          <t>L</t>
        </is>
      </c>
      <c r="H24" s="7" t="inlineStr">
        <is>
          <t>TODO</t>
        </is>
      </c>
      <c r="I24" s="5" t="inlineStr">
        <is>
          <t>Enterprise vendors dont have wallets; passkeys eliminate friction</t>
        </is>
      </c>
    </row>
    <row r="25" ht="42" customHeight="1">
      <c r="B25" s="8" t="n">
        <v>20</v>
      </c>
      <c r="C25" s="9" t="inlineStr">
        <is>
          <t>Monitoring: observability</t>
        </is>
      </c>
      <c r="D25" s="9" t="inlineStr">
        <is>
          <t>Pino logs to stdout (no dashboards)</t>
        </is>
      </c>
      <c r="E25" s="9" t="inlineStr">
        <is>
          <t>Prometheus + Grafana + AlertManager (self-hosted) or Datadog (paid)</t>
        </is>
      </c>
      <c r="F25" s="11" t="inlineStr">
        <is>
          <t>P2</t>
        </is>
      </c>
      <c r="G25" s="8" t="inlineStr">
        <is>
          <t>M</t>
        </is>
      </c>
      <c r="H25" s="7" t="inlineStr">
        <is>
          <t>TODO</t>
        </is>
      </c>
      <c r="I25" s="9" t="inlineStr">
        <is>
          <t>Currently zero observability — production deployments are blind</t>
        </is>
      </c>
    </row>
    <row r="26" ht="42" customHeight="1">
      <c r="B26" s="4" t="n">
        <v>21</v>
      </c>
      <c r="C26" s="5" t="inlineStr">
        <is>
          <t>Error tracking</t>
        </is>
      </c>
      <c r="D26" s="5" t="inlineStr">
        <is>
          <t>None</t>
        </is>
      </c>
      <c r="E26" s="5" t="inlineStr">
        <is>
          <t>Sentry (@sentry/node for backend, @sentry/nextjs for frontend)</t>
        </is>
      </c>
      <c r="F26" s="11" t="inlineStr">
        <is>
          <t>P2</t>
        </is>
      </c>
      <c r="G26" s="4" t="inlineStr">
        <is>
          <t>S</t>
        </is>
      </c>
      <c r="H26" s="7" t="inlineStr">
        <is>
          <t>TODO</t>
        </is>
      </c>
      <c r="I26" s="5" t="inlineStr">
        <is>
          <t>No error visibility in production</t>
        </is>
      </c>
    </row>
    <row r="27" ht="42" customHeight="1">
      <c r="B27" s="8" t="n">
        <v>22</v>
      </c>
      <c r="C27" s="9" t="inlineStr">
        <is>
          <t>DB: migrations</t>
        </is>
      </c>
      <c r="D27" s="9" t="inlineStr">
        <is>
          <t>schema.sql mounted into Postgres container (no versioning)</t>
        </is>
      </c>
      <c r="E27" s="9" t="inlineStr">
        <is>
          <t>Drizzle ORM + drizzle-kit (TypeScript-native)</t>
        </is>
      </c>
      <c r="F27" s="11" t="inlineStr">
        <is>
          <t>P2</t>
        </is>
      </c>
      <c r="G27" s="8" t="inlineStr">
        <is>
          <t>M</t>
        </is>
      </c>
      <c r="H27" s="7" t="inlineStr">
        <is>
          <t>TODO</t>
        </is>
      </c>
      <c r="I27" s="9" t="inlineStr">
        <is>
          <t>Matches Fastify/viem stack; version-controlled schema changes</t>
        </is>
      </c>
    </row>
    <row r="28" ht="42" customHeight="1">
      <c r="B28" s="4" t="n">
        <v>23</v>
      </c>
      <c r="C28" s="5" t="inlineStr">
        <is>
          <t>SAST: Solidity</t>
        </is>
      </c>
      <c r="D28" s="5" t="inlineStr">
        <is>
          <t>None</t>
        </is>
      </c>
      <c r="E28" s="5" t="inlineStr">
        <is>
          <t>Slither (Python-based, runs in CI)</t>
        </is>
      </c>
      <c r="F28" s="12" t="inlineStr">
        <is>
          <t>P3</t>
        </is>
      </c>
      <c r="G28" s="4" t="inlineStr">
        <is>
          <t>S</t>
        </is>
      </c>
      <c r="H28" s="7" t="inlineStr">
        <is>
          <t>TODO</t>
        </is>
      </c>
      <c r="I28" s="5" t="inlineStr">
        <is>
          <t>Would have caught VendorRegistry duplicate-check bug statically</t>
        </is>
      </c>
    </row>
    <row r="29" ht="42" customHeight="1">
      <c r="B29" s="8" t="n">
        <v>24</v>
      </c>
      <c r="C29" s="9" t="inlineStr">
        <is>
          <t>SAST: TypeScript/Python</t>
        </is>
      </c>
      <c r="D29" s="9" t="inlineStr">
        <is>
          <t>None</t>
        </is>
      </c>
      <c r="E29" s="9" t="inlineStr">
        <is>
          <t>Semgrep + GitHub CodeQL (free for OSS)</t>
        </is>
      </c>
      <c r="F29" s="12" t="inlineStr">
        <is>
          <t>P3</t>
        </is>
      </c>
      <c r="G29" s="8" t="inlineStr">
        <is>
          <t>S</t>
        </is>
      </c>
      <c r="H29" s="7" t="inlineStr">
        <is>
          <t>TODO</t>
        </is>
      </c>
      <c r="I29" s="9" t="inlineStr">
        <is>
          <t>Catches SSRF, missing-validation, leaked-secrets bug classes</t>
        </is>
      </c>
    </row>
    <row r="30" ht="42" customHeight="1">
      <c r="B30" s="4" t="n">
        <v>25</v>
      </c>
      <c r="C30" s="5" t="inlineStr">
        <is>
          <t>Dependency scanning: Python</t>
        </is>
      </c>
      <c r="D30" s="5" t="inlineStr">
        <is>
          <t>npm audit only (TypeScript)</t>
        </is>
      </c>
      <c r="E30" s="5" t="inlineStr">
        <is>
          <t>pip-audit + Dependabot (both ecosystems)</t>
        </is>
      </c>
      <c r="F30" s="12" t="inlineStr">
        <is>
          <t>P3</t>
        </is>
      </c>
      <c r="G30" s="4" t="inlineStr">
        <is>
          <t>XS</t>
        </is>
      </c>
      <c r="H30" s="7" t="inlineStr">
        <is>
          <t>TODO</t>
        </is>
      </c>
      <c r="I30" s="5" t="inlineStr">
        <is>
          <t>Python deps have no automated scanning</t>
        </is>
      </c>
    </row>
    <row r="31" ht="42" customHeight="1">
      <c r="B31" s="8" t="n">
        <v>26</v>
      </c>
      <c r="C31" s="9" t="inlineStr">
        <is>
          <t>Secret scanning</t>
        </is>
      </c>
      <c r="D31" s="9" t="inlineStr">
        <is>
          <t>detect-private-key in pre-commit only (catches local)</t>
        </is>
      </c>
      <c r="E31" s="9" t="inlineStr">
        <is>
          <t>gitleaks in CI + GitHub secret scanning enabled</t>
        </is>
      </c>
      <c r="F31" s="12" t="inlineStr">
        <is>
          <t>P3</t>
        </is>
      </c>
      <c r="G31" s="8" t="inlineStr">
        <is>
          <t>XS</t>
        </is>
      </c>
      <c r="H31" s="7" t="inlineStr">
        <is>
          <t>TODO</t>
        </is>
      </c>
      <c r="I31" s="9" t="inlineStr">
        <is>
          <t>Pre-commit only catches local; pushes can still leak secrets</t>
        </is>
      </c>
    </row>
    <row r="32" ht="42" customHeight="1">
      <c r="B32" s="4" t="n">
        <v>27</v>
      </c>
      <c r="C32" s="5" t="inlineStr">
        <is>
          <t>Contract verification</t>
        </is>
      </c>
      <c r="D32" s="5" t="inlineStr">
        <is>
          <t>Not in CI</t>
        </is>
      </c>
      <c r="E32" s="5" t="inlineStr">
        <is>
          <t>forge verify-contract step in CI</t>
        </is>
      </c>
      <c r="F32" s="12" t="inlineStr">
        <is>
          <t>P3</t>
        </is>
      </c>
      <c r="G32" s="4" t="inlineStr">
        <is>
          <t>XS</t>
        </is>
      </c>
      <c r="H32" s="7" t="inlineStr">
        <is>
          <t>TODO</t>
        </is>
      </c>
      <c r="I32" s="5" t="inlineStr">
        <is>
          <t>Contracts would not be verified on Basescan — kills transparency</t>
        </is>
      </c>
    </row>
    <row r="33" ht="42" customHeight="1">
      <c r="B33" s="8" t="n">
        <v>28</v>
      </c>
      <c r="C33" s="9" t="inlineStr">
        <is>
          <t>Coverage reporting</t>
        </is>
      </c>
      <c r="D33" s="9" t="inlineStr">
        <is>
          <t>None</t>
        </is>
      </c>
      <c r="E33" s="9" t="inlineStr">
        <is>
          <t>forge coverage + pytest --cov + Codecov upload</t>
        </is>
      </c>
      <c r="F33" s="12" t="inlineStr">
        <is>
          <t>P3</t>
        </is>
      </c>
      <c r="G33" s="8" t="inlineStr">
        <is>
          <t>S</t>
        </is>
      </c>
      <c r="H33" s="7" t="inlineStr">
        <is>
          <t>TODO</t>
        </is>
      </c>
      <c r="I33" s="9" t="inlineStr">
        <is>
          <t>Coverage trends are invisible</t>
        </is>
      </c>
    </row>
    <row r="34" ht="42" customHeight="1">
      <c r="B34" s="4" t="n">
        <v>29</v>
      </c>
      <c r="C34" s="5" t="inlineStr">
        <is>
          <t>DB: HA / failover</t>
        </is>
      </c>
      <c r="D34" s="5" t="inlineStr">
        <is>
          <t>Single Postgres instance</t>
        </is>
      </c>
      <c r="E34" s="5" t="inlineStr">
        <is>
          <t>RDS Multi-AZ or CrunchyBridge</t>
        </is>
      </c>
      <c r="F34" s="12" t="inlineStr">
        <is>
          <t>P3</t>
        </is>
      </c>
      <c r="G34" s="4" t="inlineStr">
        <is>
          <t>M</t>
        </is>
      </c>
      <c r="H34" s="7" t="inlineStr">
        <is>
          <t>TODO</t>
        </is>
      </c>
      <c r="I34" s="5" t="inlineStr">
        <is>
          <t>No read replica, no failover, no backup strategy documented</t>
        </is>
      </c>
    </row>
    <row r="35" ht="42" customHeight="1">
      <c r="B35" s="8" t="n">
        <v>30</v>
      </c>
      <c r="C35" s="9" t="inlineStr">
        <is>
          <t>RPC: redundancy</t>
        </is>
      </c>
      <c r="D35" s="9" t="inlineStr">
        <is>
          <t>Single RPC endpoint (no fallback)</t>
        </is>
      </c>
      <c r="E35" s="9" t="inlineStr">
        <is>
          <t>Multi-RPC pool with automatic failover (Alchemy + QuickNode + Infura)</t>
        </is>
      </c>
      <c r="F35" s="12" t="inlineStr">
        <is>
          <t>P3</t>
        </is>
      </c>
      <c r="G35" s="8" t="inlineStr">
        <is>
          <t>S</t>
        </is>
      </c>
      <c r="H35" s="7" t="inlineStr">
        <is>
          <t>TODO</t>
        </is>
      </c>
      <c r="I35" s="9" t="inlineStr">
        <is>
          <t>If RPC goes down, relayer cannot submit, indexer cannot sync</t>
        </is>
      </c>
    </row>
  </sheetData>
  <autoFilter ref="B5:I35"/>
  <mergeCells count="2">
    <mergeCell ref="B3:H3"/>
    <mergeCell ref="B2:H2"/>
  </mergeCells>
  <conditionalFormatting sqref="H6:H35">
    <cfRule type="expression" priority="1" dxfId="0">
      <formula>$H6="DONE"</formula>
    </cfRule>
    <cfRule type="expression" priority="2" dxfId="1">
      <formula>$H6="IN PROGRESS"</formula>
    </cfRule>
    <cfRule type="expression" priority="3" dxfId="2">
      <formula>$H6="SKIPPED"</formula>
    </cfRule>
  </conditionalFormatting>
  <dataValidations count="3">
    <dataValidation sqref="H6:H35" showDropDown="0" showInputMessage="0" showErrorMessage="0" allowBlank="1" type="list">
      <formula1>"TODO,IN PROGRESS,DONE,SKIPPED"</formula1>
    </dataValidation>
    <dataValidation sqref="F6:F35" showDropDown="0" showInputMessage="0" showErrorMessage="0" allowBlank="0" type="list">
      <formula1>"P0,P1,P2,P3"</formula1>
    </dataValidation>
    <dataValidation sqref="G6:G35" showDropDown="0" showInputMessage="0" showErrorMessage="0" allowBlank="0" type="list">
      <formula1>"XS,S,M,L,XL"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0"/>
  <sheetViews>
    <sheetView workbookViewId="0">
      <selection activeCell="A1" sqref="A1"/>
    </sheetView>
  </sheetViews>
  <sheetFormatPr baseColWidth="8" defaultRowHeight="15"/>
  <cols>
    <col width="12" customWidth="1" min="2" max="2"/>
    <col width="50" customWidth="1" min="3" max="3"/>
    <col width="10" customWidth="1" min="4" max="4"/>
    <col width="10" customWidth="1" min="5" max="5"/>
    <col width="14" customWidth="1" min="6" max="6"/>
  </cols>
  <sheetData>
    <row r="2" ht="28" customHeight="1">
      <c r="B2" s="1" t="inlineStr">
        <is>
          <t>Migration Summary by Priority</t>
        </is>
      </c>
    </row>
    <row r="3" ht="16" customHeight="1">
      <c r="B3" s="2" t="inlineStr">
        <is>
          <t>Live formulas — updates as you change Status in the Migration Checklist sheet</t>
        </is>
      </c>
    </row>
    <row r="5" ht="32" customHeight="1">
      <c r="B5" s="3" t="inlineStr">
        <is>
          <t>Priority</t>
        </is>
      </c>
      <c r="C5" s="3" t="inlineStr">
        <is>
          <t>Description</t>
        </is>
      </c>
      <c r="D5" s="3" t="inlineStr">
        <is>
          <t>Total</t>
        </is>
      </c>
      <c r="E5" s="3" t="inlineStr">
        <is>
          <t>Done</t>
        </is>
      </c>
      <c r="F5" s="3" t="inlineStr">
        <is>
          <t>Progress %</t>
        </is>
      </c>
    </row>
    <row r="6" ht="28" customHeight="1">
      <c r="B6" s="13" t="inlineStr">
        <is>
          <t>P0</t>
        </is>
      </c>
      <c r="C6" s="5" t="inlineStr">
        <is>
          <t>Security-critical — fix this week</t>
        </is>
      </c>
      <c r="D6" s="14">
        <f>COUNTIF('Migration Checklist'!F6:F35,"P0")</f>
        <v/>
      </c>
      <c r="E6" s="15">
        <f>COUNTIFS('Migration Checklist'!F6:F35,"P0",'Migration Checklist'!H6:H35,"DONE")</f>
        <v/>
      </c>
      <c r="F6" s="16">
        <f>IFERROR(E6/D6,0)</f>
        <v/>
      </c>
    </row>
    <row r="7" ht="28" customHeight="1">
      <c r="B7" s="17" t="inlineStr">
        <is>
          <t>P1</t>
        </is>
      </c>
      <c r="C7" s="5" t="inlineStr">
        <is>
          <t>Modernize for scalability &amp; DX — this month</t>
        </is>
      </c>
      <c r="D7" s="14">
        <f>COUNTIF('Migration Checklist'!F6:F35,"P1")</f>
        <v/>
      </c>
      <c r="E7" s="15">
        <f>COUNTIFS('Migration Checklist'!F6:F35,"P1",'Migration Checklist'!H6:H35,"DONE")</f>
        <v/>
      </c>
      <c r="F7" s="16">
        <f>IFERROR(E7/D7,0)</f>
        <v/>
      </c>
    </row>
    <row r="8" ht="28" customHeight="1">
      <c r="B8" s="18" t="inlineStr">
        <is>
          <t>P2</t>
        </is>
      </c>
      <c r="C8" s="5" t="inlineStr">
        <is>
          <t>Strategic infrastructure — 60-90 days</t>
        </is>
      </c>
      <c r="D8" s="14">
        <f>COUNTIF('Migration Checklist'!F6:F35,"P2")</f>
        <v/>
      </c>
      <c r="E8" s="15">
        <f>COUNTIFS('Migration Checklist'!F6:F35,"P2",'Migration Checklist'!H6:H35,"DONE")</f>
        <v/>
      </c>
      <c r="F8" s="16">
        <f>IFERROR(E8/D8,0)</f>
        <v/>
      </c>
    </row>
    <row r="9" ht="28" customHeight="1">
      <c r="B9" s="19" t="inlineStr">
        <is>
          <t>P3</t>
        </is>
      </c>
      <c r="C9" s="5" t="inlineStr">
        <is>
          <t>DevSecOps additions — before production</t>
        </is>
      </c>
      <c r="D9" s="14">
        <f>COUNTIF('Migration Checklist'!F6:F35,"P3")</f>
        <v/>
      </c>
      <c r="E9" s="15">
        <f>COUNTIFS('Migration Checklist'!F6:F35,"P3",'Migration Checklist'!H6:H35,"DONE")</f>
        <v/>
      </c>
      <c r="F9" s="16">
        <f>IFERROR(E9/D9,0)</f>
        <v/>
      </c>
    </row>
    <row r="10" ht="30" customHeight="1">
      <c r="B10" s="20" t="inlineStr">
        <is>
          <t>TOTAL</t>
        </is>
      </c>
      <c r="C10" s="21" t="n"/>
      <c r="D10" s="20">
        <f>SUM(D6:D9)</f>
        <v/>
      </c>
      <c r="E10" s="20">
        <f>SUM(E6:E9)</f>
        <v/>
      </c>
      <c r="F10" s="22">
        <f>IFERROR(E10/D10,0)</f>
        <v/>
      </c>
    </row>
  </sheetData>
  <mergeCells count="3">
    <mergeCell ref="B2:F2"/>
    <mergeCell ref="B10:C10"/>
    <mergeCell ref="B3:F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4"/>
  <sheetViews>
    <sheetView workbookViewId="0">
      <selection activeCell="A1" sqref="A1"/>
    </sheetView>
  </sheetViews>
  <sheetFormatPr baseColWidth="8" defaultRowHeight="15"/>
  <cols>
    <col width="28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2" ht="28" customHeight="1">
      <c r="B2" s="1" t="inlineStr">
        <is>
          <t>Migration Summary by Component Layer</t>
        </is>
      </c>
    </row>
    <row r="3" ht="16" customHeight="1">
      <c r="B3" s="2" t="inlineStr">
        <is>
          <t>Which layers of the Q-Trust stack have the most migration work</t>
        </is>
      </c>
    </row>
    <row r="5" ht="32" customHeight="1">
      <c r="B5" s="3" t="inlineStr">
        <is>
          <t>Layer</t>
        </is>
      </c>
      <c r="C5" s="3" t="inlineStr">
        <is>
          <t>Total</t>
        </is>
      </c>
      <c r="D5" s="3" t="inlineStr">
        <is>
          <t>Done</t>
        </is>
      </c>
      <c r="E5" s="3" t="inlineStr">
        <is>
          <t>In Progress</t>
        </is>
      </c>
      <c r="F5" s="3" t="inlineStr">
        <is>
          <t>Progress %</t>
        </is>
      </c>
    </row>
    <row r="6" ht="26" customHeight="1">
      <c r="B6" s="23" t="inlineStr">
        <is>
          <t>Frontend</t>
        </is>
      </c>
      <c r="C6" s="24">
        <f>SUMPRODUCT(--(LEFT('Migration Checklist'!C6:C35,LEN("Frontend"))="Frontend"))</f>
        <v/>
      </c>
      <c r="D6" s="24">
        <f>SUMPRODUCT(--(LEFT('Migration Checklist'!C6:C35,LEN("Frontend"))="Frontend"),--('Migration Checklist'!H6:H35="DONE"))</f>
        <v/>
      </c>
      <c r="E6" s="24">
        <f>SUMPRODUCT(--(LEFT('Migration Checklist'!C6:C35,LEN("Frontend"))="Frontend"),--('Migration Checklist'!H6:H35="IN PROGRESS"))</f>
        <v/>
      </c>
      <c r="F6" s="25">
        <f>IFERROR(D6/C6,0)</f>
        <v/>
      </c>
    </row>
    <row r="7" ht="26" customHeight="1">
      <c r="B7" s="26" t="inlineStr">
        <is>
          <t>Backend</t>
        </is>
      </c>
      <c r="C7" s="27">
        <f>SUMPRODUCT(--(LEFT('Migration Checklist'!C6:C35,LEN("Backend"))="Backend"))</f>
        <v/>
      </c>
      <c r="D7" s="27">
        <f>SUMPRODUCT(--(LEFT('Migration Checklist'!C6:C35,LEN("Backend"))="Backend"),--('Migration Checklist'!H6:H35="DONE"))</f>
        <v/>
      </c>
      <c r="E7" s="27">
        <f>SUMPRODUCT(--(LEFT('Migration Checklist'!C6:C35,LEN("Backend"))="Backend"),--('Migration Checklist'!H6:H35="IN PROGRESS"))</f>
        <v/>
      </c>
      <c r="F7" s="28">
        <f>IFERROR(D7/C7,0)</f>
        <v/>
      </c>
    </row>
    <row r="8" ht="26" customHeight="1">
      <c r="B8" s="23" t="inlineStr">
        <is>
          <t>Inspector</t>
        </is>
      </c>
      <c r="C8" s="24">
        <f>SUMPRODUCT(--(LEFT('Migration Checklist'!C6:C35,LEN("Inspector"))="Inspector"))</f>
        <v/>
      </c>
      <c r="D8" s="24">
        <f>SUMPRODUCT(--(LEFT('Migration Checklist'!C6:C35,LEN("Inspector"))="Inspector"),--('Migration Checklist'!H6:H35="DONE"))</f>
        <v/>
      </c>
      <c r="E8" s="24">
        <f>SUMPRODUCT(--(LEFT('Migration Checklist'!C6:C35,LEN("Inspector"))="Inspector"),--('Migration Checklist'!H6:H35="IN PROGRESS"))</f>
        <v/>
      </c>
      <c r="F8" s="25">
        <f>IFERROR(D8/C8,0)</f>
        <v/>
      </c>
    </row>
    <row r="9" ht="26" customHeight="1">
      <c r="B9" s="26" t="inlineStr">
        <is>
          <t>SDK</t>
        </is>
      </c>
      <c r="C9" s="27">
        <f>SUMPRODUCT(--(LEFT('Migration Checklist'!C6:C35,LEN("SDK"))="SDK"))</f>
        <v/>
      </c>
      <c r="D9" s="27">
        <f>SUMPRODUCT(--(LEFT('Migration Checklist'!C6:C35,LEN("SDK"))="SDK"),--('Migration Checklist'!H6:H35="DONE"))</f>
        <v/>
      </c>
      <c r="E9" s="27">
        <f>SUMPRODUCT(--(LEFT('Migration Checklist'!C6:C35,LEN("SDK"))="SDK"),--('Migration Checklist'!H6:H35="IN PROGRESS"))</f>
        <v/>
      </c>
      <c r="F9" s="28">
        <f>IFERROR(D9/C9,0)</f>
        <v/>
      </c>
    </row>
    <row r="10" ht="26" customHeight="1">
      <c r="B10" s="23" t="inlineStr">
        <is>
          <t>Planner</t>
        </is>
      </c>
      <c r="C10" s="24">
        <f>SUMPRODUCT(--(LEFT('Migration Checklist'!C6:C35,LEN("Planner"))="Planner"))</f>
        <v/>
      </c>
      <c r="D10" s="24">
        <f>SUMPRODUCT(--(LEFT('Migration Checklist'!C6:C35,LEN("Planner"))="Planner"),--('Migration Checklist'!H6:H35="DONE"))</f>
        <v/>
      </c>
      <c r="E10" s="24">
        <f>SUMPRODUCT(--(LEFT('Migration Checklist'!C6:C35,LEN("Planner"))="Planner"),--('Migration Checklist'!H6:H35="IN PROGRESS"))</f>
        <v/>
      </c>
      <c r="F10" s="25">
        <f>IFERROR(D10/C10,0)</f>
        <v/>
      </c>
    </row>
    <row r="11" ht="26" customHeight="1">
      <c r="B11" s="26" t="inlineStr">
        <is>
          <t>Smart contracts</t>
        </is>
      </c>
      <c r="C11" s="27">
        <f>SUMPRODUCT(--(LEFT('Migration Checklist'!C6:C35,LEN("Smart contracts"))="Smart contracts"))</f>
        <v/>
      </c>
      <c r="D11" s="27">
        <f>SUMPRODUCT(--(LEFT('Migration Checklist'!C6:C35,LEN("Smart contracts"))="Smart contracts"),--('Migration Checklist'!H6:H35="DONE"))</f>
        <v/>
      </c>
      <c r="E11" s="27">
        <f>SUMPRODUCT(--(LEFT('Migration Checklist'!C6:C35,LEN("Smart contracts"))="Smart contracts"),--('Migration Checklist'!H6:H35="IN PROGRESS"))</f>
        <v/>
      </c>
      <c r="F11" s="28">
        <f>IFERROR(D11/C11,0)</f>
        <v/>
      </c>
    </row>
    <row r="12" ht="26" customHeight="1">
      <c r="B12" s="23" t="inlineStr">
        <is>
          <t>Storage</t>
        </is>
      </c>
      <c r="C12" s="24">
        <f>SUMPRODUCT(--(LEFT('Migration Checklist'!C6:C35,LEN("Storage"))="Storage"))</f>
        <v/>
      </c>
      <c r="D12" s="24">
        <f>SUMPRODUCT(--(LEFT('Migration Checklist'!C6:C35,LEN("Storage"))="Storage"),--('Migration Checklist'!H6:H35="DONE"))</f>
        <v/>
      </c>
      <c r="E12" s="24">
        <f>SUMPRODUCT(--(LEFT('Migration Checklist'!C6:C35,LEN("Storage"))="Storage"),--('Migration Checklist'!H6:H35="IN PROGRESS"))</f>
        <v/>
      </c>
      <c r="F12" s="25">
        <f>IFERROR(D12/C12,0)</f>
        <v/>
      </c>
    </row>
    <row r="13" ht="26" customHeight="1">
      <c r="B13" s="26" t="inlineStr">
        <is>
          <t>Blockchain</t>
        </is>
      </c>
      <c r="C13" s="27">
        <f>SUMPRODUCT(--(LEFT('Migration Checklist'!C6:C35,LEN("Blockchain"))="Blockchain"))</f>
        <v/>
      </c>
      <c r="D13" s="27">
        <f>SUMPRODUCT(--(LEFT('Migration Checklist'!C6:C35,LEN("Blockchain"))="Blockchain"),--('Migration Checklist'!H6:H35="DONE"))</f>
        <v/>
      </c>
      <c r="E13" s="27">
        <f>SUMPRODUCT(--(LEFT('Migration Checklist'!C6:C35,LEN("Blockchain"))="Blockchain"),--('Migration Checklist'!H6:H35="IN PROGRESS"))</f>
        <v/>
      </c>
      <c r="F13" s="28">
        <f>IFERROR(D13/C13,0)</f>
        <v/>
      </c>
    </row>
    <row r="14" ht="26" customHeight="1">
      <c r="B14" s="23" t="inlineStr">
        <is>
          <t>DevOps</t>
        </is>
      </c>
      <c r="C14" s="24">
        <f>SUMPRODUCT(--(LEFT('Migration Checklist'!C6:C35,LEN("DevOps"))="DevOps"))</f>
        <v/>
      </c>
      <c r="D14" s="24">
        <f>SUMPRODUCT(--(LEFT('Migration Checklist'!C6:C35,LEN("DevOps"))="DevOps"),--('Migration Checklist'!H6:H35="DONE"))</f>
        <v/>
      </c>
      <c r="E14" s="24">
        <f>SUMPRODUCT(--(LEFT('Migration Checklist'!C6:C35,LEN("DevOps"))="DevOps"),--('Migration Checklist'!H6:H35="IN PROGRESS"))</f>
        <v/>
      </c>
      <c r="F14" s="25">
        <f>IFERROR(D14/C14,0)</f>
        <v/>
      </c>
    </row>
  </sheetData>
  <mergeCells count="2">
    <mergeCell ref="B2:F2"/>
    <mergeCell ref="B3:F3"/>
  </mergeCells>
  <conditionalFormatting sqref="F6:F14">
    <cfRule type="dataBar" priority="1">
      <dataBar>
        <cfvo type="num" val="0"/>
        <cfvo type="num" val="1"/>
        <color rgb="00917521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36"/>
  <sheetViews>
    <sheetView workbookViewId="0">
      <selection activeCell="A1" sqref="A1"/>
    </sheetView>
  </sheetViews>
  <sheetFormatPr baseColWidth="8" defaultRowHeight="15"/>
  <cols>
    <col width="14" customWidth="1" min="2" max="2"/>
    <col width="36" customWidth="1" min="3" max="3"/>
    <col width="40" customWidth="1" min="4" max="4"/>
    <col width="30" customWidth="1" min="5" max="5"/>
  </cols>
  <sheetData>
    <row r="2" ht="28" customHeight="1">
      <c r="B2" s="1" t="inlineStr">
        <is>
          <t>Legend &amp; Effort Guide</t>
        </is>
      </c>
    </row>
    <row r="4" ht="28" customHeight="1">
      <c r="B4" s="3" t="inlineStr">
        <is>
          <t>Priority</t>
        </is>
      </c>
      <c r="C4" s="3" t="inlineStr">
        <is>
          <t>Meaning</t>
        </is>
      </c>
      <c r="D4" s="3" t="inlineStr">
        <is>
          <t>When to do</t>
        </is>
      </c>
      <c r="E4" s="3" t="inlineStr">
        <is>
          <t>Color</t>
        </is>
      </c>
    </row>
    <row r="5" ht="26" customHeight="1">
      <c r="B5" s="13" t="inlineStr">
        <is>
          <t>P0</t>
        </is>
      </c>
      <c r="C5" s="5" t="inlineStr">
        <is>
          <t>Security-critical</t>
        </is>
      </c>
      <c r="D5" s="5" t="inlineStr">
        <is>
          <t>This week (1-7 days)</t>
        </is>
      </c>
      <c r="E5" s="29" t="n"/>
    </row>
    <row r="6" ht="26" customHeight="1">
      <c r="B6" s="17" t="inlineStr">
        <is>
          <t>P1</t>
        </is>
      </c>
      <c r="C6" s="5" t="inlineStr">
        <is>
          <t>Modernize for scalability &amp; DX</t>
        </is>
      </c>
      <c r="D6" s="5" t="inlineStr">
        <is>
          <t>This month (1-4 weeks)</t>
        </is>
      </c>
      <c r="E6" s="30" t="n"/>
    </row>
    <row r="7" ht="26" customHeight="1">
      <c r="B7" s="18" t="inlineStr">
        <is>
          <t>P2</t>
        </is>
      </c>
      <c r="C7" s="5" t="inlineStr">
        <is>
          <t>Strategic infrastructure</t>
        </is>
      </c>
      <c r="D7" s="5" t="inlineStr">
        <is>
          <t>60-90 days</t>
        </is>
      </c>
      <c r="E7" s="31" t="n"/>
    </row>
    <row r="8" ht="26" customHeight="1">
      <c r="B8" s="19" t="inlineStr">
        <is>
          <t>P3</t>
        </is>
      </c>
      <c r="C8" s="5" t="inlineStr">
        <is>
          <t>DevSecOps / before production</t>
        </is>
      </c>
      <c r="D8" s="5" t="inlineStr">
        <is>
          <t>Before public mainnet launch</t>
        </is>
      </c>
      <c r="E8" s="32" t="n"/>
    </row>
    <row r="11" ht="28" customHeight="1">
      <c r="B11" s="3" t="inlineStr">
        <is>
          <t>Effort</t>
        </is>
      </c>
      <c r="C11" s="3" t="inlineStr">
        <is>
          <t>Engineering time</t>
        </is>
      </c>
      <c r="D11" s="3" t="inlineStr">
        <is>
          <t>Typical scope</t>
        </is>
      </c>
    </row>
    <row r="12" ht="24" customHeight="1">
      <c r="B12" s="33" t="inlineStr">
        <is>
          <t>XS</t>
        </is>
      </c>
      <c r="C12" s="5" t="inlineStr">
        <is>
          <t>&lt; 2 hours</t>
        </is>
      </c>
      <c r="D12" s="5" t="inlineStr">
        <is>
          <t>Single file change, version bump, dependency swap</t>
        </is>
      </c>
    </row>
    <row r="13" ht="24" customHeight="1">
      <c r="B13" s="33" t="inlineStr">
        <is>
          <t>S</t>
        </is>
      </c>
      <c r="C13" s="5" t="inlineStr">
        <is>
          <t>&lt; 1 day</t>
        </is>
      </c>
      <c r="D13" s="5" t="inlineStr">
        <is>
          <t>Single component, small refactor, add a library</t>
        </is>
      </c>
    </row>
    <row r="14" ht="24" customHeight="1">
      <c r="B14" s="33" t="inlineStr">
        <is>
          <t>M</t>
        </is>
      </c>
      <c r="C14" s="5" t="inlineStr">
        <is>
          <t>1-3 days</t>
        </is>
      </c>
      <c r="D14" s="5" t="inlineStr">
        <is>
          <t>Multi-file change, new integration, moderate refactor</t>
        </is>
      </c>
    </row>
    <row r="15" ht="24" customHeight="1">
      <c r="B15" s="33" t="inlineStr">
        <is>
          <t>L</t>
        </is>
      </c>
      <c r="C15" s="5" t="inlineStr">
        <is>
          <t>1-2 weeks</t>
        </is>
      </c>
      <c r="D15" s="5" t="inlineStr">
        <is>
          <t>Architectural change, new feature, contract migration</t>
        </is>
      </c>
    </row>
    <row r="16" ht="24" customHeight="1">
      <c r="B16" s="33" t="inlineStr">
        <is>
          <t>XL</t>
        </is>
      </c>
      <c r="C16" s="5" t="inlineStr">
        <is>
          <t>2-4 weeks</t>
        </is>
      </c>
      <c r="D16" s="5" t="inlineStr">
        <is>
          <t>Multi-system change, new infrastructure, large migration</t>
        </is>
      </c>
    </row>
    <row r="19" ht="28" customHeight="1">
      <c r="B19" s="3" t="inlineStr">
        <is>
          <t>Status</t>
        </is>
      </c>
      <c r="C19" s="3" t="inlineStr">
        <is>
          <t>Meaning</t>
        </is>
      </c>
    </row>
    <row r="20" ht="24" customHeight="1">
      <c r="B20" s="7" t="inlineStr">
        <is>
          <t>TODO</t>
        </is>
      </c>
      <c r="C20" s="5" t="inlineStr">
        <is>
          <t>Not started — default state</t>
        </is>
      </c>
    </row>
    <row r="21" ht="24" customHeight="1">
      <c r="B21" s="10" t="inlineStr">
        <is>
          <t>IN PROGRESS</t>
        </is>
      </c>
      <c r="C21" s="5" t="inlineStr">
        <is>
          <t>Currently being worked on</t>
        </is>
      </c>
    </row>
    <row r="22" ht="24" customHeight="1">
      <c r="B22" s="34" t="inlineStr">
        <is>
          <t>DONE</t>
        </is>
      </c>
      <c r="C22" s="5" t="inlineStr">
        <is>
          <t>Completed and verified</t>
        </is>
      </c>
    </row>
    <row r="23" ht="24" customHeight="1">
      <c r="B23" s="35" t="inlineStr">
        <is>
          <t>SKIPPED</t>
        </is>
      </c>
      <c r="C23" s="5" t="inlineStr">
        <is>
          <t>Decided not to do — record reason in Notes</t>
        </is>
      </c>
    </row>
    <row r="26" ht="28" customHeight="1">
      <c r="B26" s="3" t="inlineStr">
        <is>
          <t>How to use this workbook</t>
        </is>
      </c>
    </row>
    <row r="27" ht="18" customHeight="1">
      <c r="B27" s="36" t="inlineStr">
        <is>
          <t>1. Open the "Migration Checklist" sheet — this is the master list of 28 stack changes.</t>
        </is>
      </c>
    </row>
    <row r="28" ht="18" customHeight="1">
      <c r="B28" s="36" t="inlineStr">
        <is>
          <t>2. Use the Status dropdown (TODO / IN PROGRESS / DONE / SKIPPED) to track progress.</t>
        </is>
      </c>
    </row>
    <row r="29" ht="18" customHeight="1">
      <c r="B29" s="36" t="inlineStr">
        <is>
          <t>3. Use the Priority dropdown to re-prioritize items if your context changes.</t>
        </is>
      </c>
    </row>
    <row r="30" ht="18" customHeight="1">
      <c r="B30" s="36" t="inlineStr">
        <is>
          <t>4. Use the Effort dropdown to adjust effort estimates (XS / S / M / L / XL).</t>
        </is>
      </c>
    </row>
    <row r="31" ht="18" customHeight="1">
      <c r="B31" s="36" t="inlineStr">
        <is>
          <t>5. Filter by Priority, Effort, or Status using the filter arrows in row 5.</t>
        </is>
      </c>
    </row>
    <row r="32" ht="18" customHeight="1">
      <c r="B32" s="36" t="inlineStr">
        <is>
          <t>6. The "Summary by Priority" sheet auto-updates with live formulas — no manual counts.</t>
        </is>
      </c>
    </row>
    <row r="33" ht="18" customHeight="1">
      <c r="B33" s="36" t="inlineStr">
        <is>
          <t>7. The "Summary by Layer" sheet shows which layers have the most migration work.</t>
        </is>
      </c>
    </row>
    <row r="34" ht="18" customHeight="1">
      <c r="B34" s="36" t="inlineStr">
        <is>
          <t>8. Suggested order: do all P0 items first (security-critical, all XS-S effort), then P1.</t>
        </is>
      </c>
    </row>
    <row r="35" ht="18" customHeight="1">
      <c r="B35" s="36" t="inlineStr">
        <is>
          <t>9. The 5 highest-impact items are: cryptography pin, helmet+swagger, wagmi+RainbowKit, Veramo, EAS schemas.</t>
        </is>
      </c>
    </row>
    <row r="36" ht="18" customHeight="1">
      <c r="B36" s="36" t="inlineStr">
        <is>
          <t>10. Completing all P0 + P1 items moves production readiness from 38/100 to ~65/100 in 2-3 sprints.</t>
        </is>
      </c>
    </row>
  </sheetData>
  <mergeCells count="12">
    <mergeCell ref="B31:E31"/>
    <mergeCell ref="B26:E26"/>
    <mergeCell ref="B27:E27"/>
    <mergeCell ref="B35:E35"/>
    <mergeCell ref="B2:F2"/>
    <mergeCell ref="B30:E30"/>
    <mergeCell ref="B29:E29"/>
    <mergeCell ref="B33:E33"/>
    <mergeCell ref="B34:E34"/>
    <mergeCell ref="B28:E28"/>
    <mergeCell ref="B36:E36"/>
    <mergeCell ref="B32:E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 Engineering Audit Practice</dc:creator>
  <dc:title xmlns:dc="http://purl.org/dc/elements/1.1/">Q-Trust Stack Migration Checklist</dc:title>
  <dc:subject xmlns:dc="http://purl.org/dc/elements/1.1/">Recommended newer tech stack for Q-Trust PQC migration protocol</dc:subject>
  <dcterms:created xmlns:dcterms="http://purl.org/dc/terms/" xmlns:xsi="http://www.w3.org/2001/XMLSchema-instance" xsi:type="dcterms:W3CDTF">2026-08-23T18:10:37Z</dcterms:created>
  <dcterms:modified xmlns:dcterms="http://purl.org/dc/terms/" xmlns:xsi="http://www.w3.org/2001/XMLSchema-instance" xsi:type="dcterms:W3CDTF">2026-08-23T18:10:37Z</dcterms:modified>
</cp:coreProperties>
</file>